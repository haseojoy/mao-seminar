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支出サマリー" sheetId="1" state="visible" r:id="rId1"/>
    <sheet name="カード明細チェックリスト" sheetId="2" state="visible" r:id="rId2"/>
    <sheet name="削減アクションプラ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color rgb="00000000"/>
      <sz val="11"/>
    </font>
    <font>
      <name val="Meiryo UI"/>
      <color rgb="00444444"/>
      <sz val="9"/>
    </font>
    <font>
      <name val="Meiryo UI"/>
      <b val="1"/>
      <color rgb="00FFFFFF"/>
      <sz val="13"/>
    </font>
    <font>
      <name val="Meiryo UI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F8F8"/>
      </patternFill>
    </fill>
    <fill>
      <patternFill patternType="solid">
        <fgColor rgb="00FFE6CC"/>
      </patternFill>
    </fill>
  </fills>
  <borders count="8">
    <border>
      <left/>
      <right/>
      <top/>
      <bottom/>
      <diagonal/>
    </border>
    <border>
      <left style="medium">
        <color rgb="00888888"/>
      </left>
      <right style="thin">
        <color rgb="00AAAAAA"/>
      </right>
      <top style="medium">
        <color rgb="00888888"/>
      </top>
      <bottom style="medium">
        <color rgb="00888888"/>
      </bottom>
    </border>
    <border>
      <left style="thin">
        <color rgb="00AAAAAA"/>
      </left>
      <right style="thin">
        <color rgb="00AAAAAA"/>
      </right>
      <top style="medium">
        <color rgb="00888888"/>
      </top>
      <bottom style="medium">
        <color rgb="00888888"/>
      </bottom>
    </border>
    <border>
      <left style="thin">
        <color rgb="00AAAAAA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888888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888888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left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left" vertical="center" wrapText="1"/>
    </xf>
    <xf numFmtId="3" fontId="3" fillId="5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left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3" fontId="7" fillId="6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3" fontId="7" fillId="5" borderId="0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left" vertical="center" wrapText="1"/>
    </xf>
    <xf numFmtId="3" fontId="7" fillId="8" borderId="6" applyAlignment="1" pivotButton="0" quotePrefix="0" xfId="0">
      <alignment horizontal="center" vertical="center" wrapText="1"/>
    </xf>
    <xf numFmtId="0" fontId="0" fillId="8" borderId="6" pivotButton="0" quotePrefix="0" xfId="0"/>
    <xf numFmtId="0" fontId="3" fillId="7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left" vertical="center" wrapText="1"/>
    </xf>
    <xf numFmtId="3" fontId="3" fillId="7" borderId="6" applyAlignment="1" pivotButton="0" quotePrefix="0" xfId="0">
      <alignment horizontal="center" vertical="center" wrapText="1"/>
    </xf>
    <xf numFmtId="3" fontId="3" fillId="4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left" vertical="center" wrapText="1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4" customWidth="1" min="4" max="4"/>
    <col width="14" customWidth="1" min="5" max="5"/>
    <col width="30" customWidth="1" min="6" max="6"/>
  </cols>
  <sheetData>
    <row r="1" ht="40" customHeight="1">
      <c r="A1" s="1" t="inlineStr">
        <is>
          <t>支出管理シート  （2026年5月 作成）</t>
        </is>
      </c>
    </row>
    <row r="2" ht="18" customHeight="1">
      <c r="A2" s="2" t="inlineStr">
        <is>
          <t>#</t>
        </is>
      </c>
      <c r="B2" s="3" t="inlineStr">
        <is>
          <t>カテゴリ / サービス名</t>
        </is>
      </c>
      <c r="C2" s="3" t="inlineStr">
        <is>
          <t>支払方法 / 備考</t>
        </is>
      </c>
      <c r="D2" s="3" t="inlineStr">
        <is>
          <t>月額(円)</t>
        </is>
      </c>
      <c r="E2" s="3" t="inlineStr">
        <is>
          <t>年額(円)</t>
        </is>
      </c>
      <c r="F2" s="4" t="inlineStr">
        <is>
          <t>アクション・メモ</t>
        </is>
      </c>
    </row>
    <row r="3" ht="22" customHeight="1">
      <c r="A3" s="5" t="inlineStr">
        <is>
          <t>① 家賃</t>
        </is>
      </c>
    </row>
    <row r="4" ht="18" customHeight="1">
      <c r="A4" s="6" t="n">
        <v>1</v>
      </c>
      <c r="B4" s="7" t="inlineStr">
        <is>
          <t>家賃（ASSETIA 管理物件）</t>
        </is>
      </c>
      <c r="C4" s="7" t="inlineStr">
        <is>
          <t>エポスカード 家賃保証</t>
        </is>
      </c>
      <c r="D4" s="8" t="inlineStr">
        <is>
          <t>要確認</t>
        </is>
      </c>
      <c r="E4" s="8" t="inlineStr">
        <is>
          <t>要確認</t>
        </is>
      </c>
      <c r="F4" s="9" t="inlineStr">
        <is>
          <t>契約更新中・金額要確認 → カード明細参照</t>
        </is>
      </c>
    </row>
    <row r="5" ht="6" customHeight="1"/>
    <row r="6" ht="22" customHeight="1">
      <c r="A6" s="5" t="inlineStr">
        <is>
          <t>② 光熱費・通信費</t>
        </is>
      </c>
    </row>
    <row r="7" ht="18" customHeight="1">
      <c r="A7" s="10" t="n">
        <v>2</v>
      </c>
      <c r="B7" s="11" t="inlineStr">
        <is>
          <t>電気代（Japan電力）</t>
        </is>
      </c>
      <c r="C7" s="11" t="inlineStr">
        <is>
          <t>エポスカード</t>
        </is>
      </c>
      <c r="D7" s="12" t="n">
        <v>10987</v>
      </c>
      <c r="E7" s="13" t="inlineStr">
        <is>
          <t>要確認</t>
        </is>
      </c>
      <c r="F7" s="14" t="inlineStr">
        <is>
          <t>3月利用分・4月引落 ¥10,987</t>
        </is>
      </c>
    </row>
    <row r="8" ht="18" customHeight="1">
      <c r="A8" s="10" t="n">
        <v>3</v>
      </c>
      <c r="B8" s="11" t="inlineStr">
        <is>
          <t>水道代（東京都水道局）</t>
        </is>
      </c>
      <c r="C8" s="11" t="inlineStr">
        <is>
          <t>エポスカード</t>
        </is>
      </c>
      <c r="D8" s="12" t="n">
        <v>4532</v>
      </c>
      <c r="E8" s="13" t="inlineStr">
        <is>
          <t>要確認</t>
        </is>
      </c>
      <c r="F8" s="14" t="inlineStr">
        <is>
          <t>3月利用分・4月引落 ¥4,532</t>
        </is>
      </c>
    </row>
    <row r="9" ht="18" customHeight="1">
      <c r="A9" s="10" t="n">
        <v>4</v>
      </c>
      <c r="B9" s="11" t="inlineStr">
        <is>
          <t>ガス代（東京ガス）</t>
        </is>
      </c>
      <c r="C9" s="11" t="inlineStr">
        <is>
          <t>エポスカード</t>
        </is>
      </c>
      <c r="D9" s="12" t="n">
        <v>5646</v>
      </c>
      <c r="E9" s="13" t="inlineStr">
        <is>
          <t>要確認</t>
        </is>
      </c>
      <c r="F9" s="14" t="inlineStr">
        <is>
          <t>2月利用分・4月引落 ¥5,646</t>
        </is>
      </c>
    </row>
    <row r="10" ht="18" customHeight="1">
      <c r="A10" s="10" t="n">
        <v>5</v>
      </c>
      <c r="B10" s="11" t="inlineStr">
        <is>
          <t>携帯（KDDI）</t>
        </is>
      </c>
      <c r="C10" s="11" t="inlineStr">
        <is>
          <t>エポスカード</t>
        </is>
      </c>
      <c r="D10" s="12" t="n">
        <v>6773</v>
      </c>
      <c r="E10" s="13" t="inlineStr">
        <is>
          <t>要確認</t>
        </is>
      </c>
      <c r="F10" s="14" t="inlineStr">
        <is>
          <t>2月分KDDIご利用料金 ¥6,773</t>
        </is>
      </c>
    </row>
    <row r="11" ht="18" customHeight="1">
      <c r="A11" s="10" t="n">
        <v>6</v>
      </c>
      <c r="B11" s="11" t="inlineStr">
        <is>
          <t>携帯（UQ mobile）</t>
        </is>
      </c>
      <c r="C11" s="11" t="inlineStr">
        <is>
          <t>エポスカード</t>
        </is>
      </c>
      <c r="D11" s="12" t="n">
        <v>4599</v>
      </c>
      <c r="E11" s="13" t="inlineStr">
        <is>
          <t>要確認</t>
        </is>
      </c>
      <c r="F11" s="14" t="inlineStr">
        <is>
          <t>3月分UQ mobileご利用料金 ¥4,599</t>
        </is>
      </c>
    </row>
    <row r="12" ht="6" customHeight="1"/>
    <row r="13" ht="22" customHeight="1">
      <c r="A13" s="5" t="inlineStr">
        <is>
          <t>③ 保険</t>
        </is>
      </c>
    </row>
    <row r="14" ht="18" customHeight="1">
      <c r="A14" s="6" t="n">
        <v>7</v>
      </c>
      <c r="B14" s="7" t="inlineStr">
        <is>
          <t>国民健康保険 / 社会保険</t>
        </is>
      </c>
      <c r="C14" s="7" t="inlineStr">
        <is>
          <t>口座引落</t>
        </is>
      </c>
      <c r="D14" s="8" t="inlineStr">
        <is>
          <t>要確認</t>
        </is>
      </c>
      <c r="E14" s="8" t="inlineStr">
        <is>
          <t>要確認</t>
        </is>
      </c>
      <c r="F14" s="9" t="inlineStr">
        <is>
          <t>金額要確認</t>
        </is>
      </c>
    </row>
    <row r="15" ht="18" customHeight="1">
      <c r="A15" s="6" t="n">
        <v>8</v>
      </c>
      <c r="B15" s="7" t="inlineStr">
        <is>
          <t>生命保険・医療保険</t>
        </is>
      </c>
      <c r="C15" s="7" t="inlineStr">
        <is>
          <t>口座引落 / カード</t>
        </is>
      </c>
      <c r="D15" s="8" t="inlineStr">
        <is>
          <t>要確認</t>
        </is>
      </c>
      <c r="E15" s="8" t="inlineStr">
        <is>
          <t>要確認</t>
        </is>
      </c>
      <c r="F15" s="9" t="inlineStr">
        <is>
          <t>金額要確認</t>
        </is>
      </c>
    </row>
    <row r="16" ht="18" customHeight="1">
      <c r="A16" s="6" t="n">
        <v>9</v>
      </c>
      <c r="B16" s="7" t="inlineStr">
        <is>
          <t>火災保険（賃貸）</t>
        </is>
      </c>
      <c r="C16" s="7" t="inlineStr">
        <is>
          <t>年払い等</t>
        </is>
      </c>
      <c r="D16" s="8" t="inlineStr">
        <is>
          <t>要確認</t>
        </is>
      </c>
      <c r="E16" s="8" t="inlineStr">
        <is>
          <t>要確認</t>
        </is>
      </c>
      <c r="F16" s="9" t="inlineStr">
        <is>
          <t>金額要確認</t>
        </is>
      </c>
    </row>
    <row r="17" ht="6" customHeight="1"/>
    <row r="18" ht="22" customHeight="1">
      <c r="A18" s="5" t="inlineStr">
        <is>
          <t>④ サブスク（確認済）</t>
        </is>
      </c>
    </row>
    <row r="19" ht="18" customHeight="1">
      <c r="A19" s="10" t="n">
        <v>10</v>
      </c>
      <c r="B19" s="11" t="inlineStr">
        <is>
          <t>Google AI Pro 5TB（Google One）</t>
        </is>
      </c>
      <c r="C19" s="11" t="inlineStr">
        <is>
          <t>エポスカード</t>
        </is>
      </c>
      <c r="D19" s="12" t="n">
        <v>2900</v>
      </c>
      <c r="E19" s="12" t="n">
        <v>34800</v>
      </c>
      <c r="F19" s="14" t="inlineStr">
        <is>
          <t>2026/06/02 解約予定 → 解約済で削減</t>
        </is>
      </c>
    </row>
    <row r="20" ht="18" customHeight="1">
      <c r="A20" s="10" t="n">
        <v>11</v>
      </c>
      <c r="B20" s="11" t="inlineStr">
        <is>
          <t>Dropbox Simple 月間プラン</t>
        </is>
      </c>
      <c r="C20" s="11" t="inlineStr">
        <is>
          <t>Apple / iPhone</t>
        </is>
      </c>
      <c r="D20" s="12" t="n">
        <v>900</v>
      </c>
      <c r="E20" s="12" t="n">
        <v>10800</v>
      </c>
      <c r="F20" s="14" t="inlineStr">
        <is>
          <t>クラウドはGoogle Driveで代替可？要検討</t>
        </is>
      </c>
    </row>
    <row r="21" ht="18" customHeight="1">
      <c r="A21" s="10" t="n">
        <v>12</v>
      </c>
      <c r="B21" s="11" t="inlineStr">
        <is>
          <t>Claude.ai サブスク</t>
        </is>
      </c>
      <c r="C21" s="11" t="inlineStr">
        <is>
          <t>エポスカード</t>
        </is>
      </c>
      <c r="D21" s="12" t="n">
        <v>3284</v>
      </c>
      <c r="E21" s="12" t="n">
        <v>39408</v>
      </c>
      <c r="F21" s="14" t="inlineStr">
        <is>
          <t>3/8 ¥3,284 引落確認済</t>
        </is>
      </c>
    </row>
    <row r="22" ht="18" customHeight="1">
      <c r="A22" s="10" t="n">
        <v>13</v>
      </c>
      <c r="B22" s="11" t="inlineStr">
        <is>
          <t>AWS（クラウド利用料）</t>
        </is>
      </c>
      <c r="C22" s="11" t="inlineStr">
        <is>
          <t>エポスカード</t>
        </is>
      </c>
      <c r="D22" s="12" t="n">
        <v>174</v>
      </c>
      <c r="E22" s="12" t="n">
        <v>2088</v>
      </c>
      <c r="F22" s="14" t="inlineStr">
        <is>
          <t>3/2 ¥174 引落確認済（業務費として計上可）</t>
        </is>
      </c>
    </row>
    <row r="23" ht="18" customHeight="1">
      <c r="A23" s="15" t="n">
        <v>14</v>
      </c>
      <c r="B23" s="16" t="inlineStr">
        <is>
          <t>日経電子版（個人プラン）</t>
        </is>
      </c>
      <c r="C23" s="16" t="inlineStr">
        <is>
          <t>カード</t>
        </is>
      </c>
      <c r="D23" s="17" t="inlineStr">
        <is>
          <t>要確認</t>
        </is>
      </c>
      <c r="E23" s="17" t="inlineStr">
        <is>
          <t>要確認</t>
        </is>
      </c>
      <c r="F23" s="18" t="inlineStr">
        <is>
          <t>解約済（〜7/9まで無料継続）→ 削減完了</t>
        </is>
      </c>
    </row>
    <row r="24" ht="6" customHeight="1"/>
    <row r="25" ht="22" customHeight="1">
      <c r="A25" s="5" t="inlineStr">
        <is>
          <t>⑤ サブスク（要確認）</t>
        </is>
      </c>
    </row>
    <row r="26" ht="18" customHeight="1">
      <c r="A26" s="6" t="n">
        <v>15</v>
      </c>
      <c r="B26" s="7" t="inlineStr">
        <is>
          <t>Amazon Prime / Audible</t>
        </is>
      </c>
      <c r="C26" s="7" t="inlineStr">
        <is>
          <t>カード</t>
        </is>
      </c>
      <c r="D26" s="8" t="inlineStr">
        <is>
          <t>要確認</t>
        </is>
      </c>
      <c r="E26" s="8" t="inlineStr">
        <is>
          <t>要確認</t>
        </is>
      </c>
      <c r="F26" s="9" t="inlineStr">
        <is>
          <t>利用有無・金額を確認</t>
        </is>
      </c>
    </row>
    <row r="27" ht="18" customHeight="1">
      <c r="A27" s="6" t="n">
        <v>16</v>
      </c>
      <c r="B27" s="7" t="inlineStr">
        <is>
          <t>U-NEXT</t>
        </is>
      </c>
      <c r="C27" s="7" t="inlineStr">
        <is>
          <t>カード</t>
        </is>
      </c>
      <c r="D27" s="8" t="inlineStr">
        <is>
          <t>要確認</t>
        </is>
      </c>
      <c r="E27" s="8" t="inlineStr">
        <is>
          <t>要確認</t>
        </is>
      </c>
      <c r="F27" s="9" t="inlineStr">
        <is>
          <t>過去利用履歴あり・現在契約状況確認</t>
        </is>
      </c>
    </row>
    <row r="28" ht="18" customHeight="1">
      <c r="A28" s="6" t="n">
        <v>17</v>
      </c>
      <c r="B28" s="7" t="inlineStr">
        <is>
          <t>その他サブスク</t>
        </is>
      </c>
      <c r="C28" s="7" t="inlineStr">
        <is>
          <t>—</t>
        </is>
      </c>
      <c r="D28" s="8" t="inlineStr">
        <is>
          <t>要確認</t>
        </is>
      </c>
      <c r="E28" s="8" t="inlineStr">
        <is>
          <t>要確認</t>
        </is>
      </c>
      <c r="F28" s="9" t="inlineStr">
        <is>
          <t>カード明細を見て洗い出し</t>
        </is>
      </c>
    </row>
    <row r="29" ht="6" customHeight="1"/>
    <row r="30" ht="22" customHeight="1">
      <c r="A30" s="5" t="inlineStr">
        <is>
          <t>⑥ 車・バイク</t>
        </is>
      </c>
    </row>
    <row r="31" ht="18" customHeight="1">
      <c r="A31" s="6" t="n">
        <v>18</v>
      </c>
      <c r="B31" s="7" t="inlineStr">
        <is>
          <t>駐車場 / バイク駐輪場</t>
        </is>
      </c>
      <c r="C31" s="7" t="inlineStr">
        <is>
          <t>口座引落 / カード</t>
        </is>
      </c>
      <c r="D31" s="8" t="inlineStr">
        <is>
          <t>要確認</t>
        </is>
      </c>
      <c r="E31" s="8" t="inlineStr">
        <is>
          <t>要確認</t>
        </is>
      </c>
      <c r="F31" s="9" t="inlineStr">
        <is>
          <t>金額要確認</t>
        </is>
      </c>
    </row>
    <row r="32" ht="18" customHeight="1">
      <c r="A32" s="6" t="n">
        <v>19</v>
      </c>
      <c r="B32" s="7" t="inlineStr">
        <is>
          <t>自動車保険 / バイク保険</t>
        </is>
      </c>
      <c r="C32" s="7" t="inlineStr">
        <is>
          <t>年払い等</t>
        </is>
      </c>
      <c r="D32" s="8" t="inlineStr">
        <is>
          <t>要確認</t>
        </is>
      </c>
      <c r="E32" s="8" t="inlineStr">
        <is>
          <t>要確認</t>
        </is>
      </c>
      <c r="F32" s="9" t="inlineStr">
        <is>
          <t>金額要確認</t>
        </is>
      </c>
    </row>
    <row r="33" ht="18" customHeight="1">
      <c r="A33" s="6" t="n">
        <v>20</v>
      </c>
      <c r="B33" s="7" t="inlineStr">
        <is>
          <t>ガソリン・車検・維持費</t>
        </is>
      </c>
      <c r="C33" s="7" t="inlineStr">
        <is>
          <t>現金 / カード</t>
        </is>
      </c>
      <c r="D33" s="8" t="inlineStr">
        <is>
          <t>要確認</t>
        </is>
      </c>
      <c r="E33" s="8" t="inlineStr">
        <is>
          <t>要確認</t>
        </is>
      </c>
      <c r="F33" s="9" t="inlineStr">
        <is>
          <t>月平均を算出する</t>
        </is>
      </c>
    </row>
    <row r="34" ht="6" customHeight="1"/>
    <row r="35" ht="22" customHeight="1">
      <c r="A35" s="5" t="inlineStr">
        <is>
          <t>⑦ 外食・コンビニ・Uber（変動費）</t>
        </is>
      </c>
    </row>
    <row r="36" ht="18" customHeight="1">
      <c r="A36" s="15" t="n">
        <v>21</v>
      </c>
      <c r="B36" s="16" t="inlineStr">
        <is>
          <t>外食・カフェ</t>
        </is>
      </c>
      <c r="C36" s="16" t="inlineStr">
        <is>
          <t>楽天カード / エポスカード</t>
        </is>
      </c>
      <c r="D36" s="17" t="inlineStr">
        <is>
          <t>要確認</t>
        </is>
      </c>
      <c r="E36" s="17" t="inlineStr">
        <is>
          <t>要確認</t>
        </is>
      </c>
      <c r="F36" s="18" t="inlineStr">
        <is>
          <t>カード明細で集計・削減優先</t>
        </is>
      </c>
    </row>
    <row r="37" ht="18" customHeight="1">
      <c r="A37" s="15" t="n">
        <v>22</v>
      </c>
      <c r="B37" s="16" t="inlineStr">
        <is>
          <t>Uber Eats / 出前館</t>
        </is>
      </c>
      <c r="C37" s="16" t="inlineStr">
        <is>
          <t>カード</t>
        </is>
      </c>
      <c r="D37" s="17" t="inlineStr">
        <is>
          <t>要確認</t>
        </is>
      </c>
      <c r="E37" s="17" t="inlineStr">
        <is>
          <t>要確認</t>
        </is>
      </c>
      <c r="F37" s="18" t="inlineStr">
        <is>
          <t>カード明細で集計・削減優先</t>
        </is>
      </c>
    </row>
    <row r="38" ht="18" customHeight="1">
      <c r="A38" s="15" t="n">
        <v>23</v>
      </c>
      <c r="B38" s="16" t="inlineStr">
        <is>
          <t>コンビニ</t>
        </is>
      </c>
      <c r="C38" s="16" t="inlineStr">
        <is>
          <t>現金 / カード</t>
        </is>
      </c>
      <c r="D38" s="17" t="inlineStr">
        <is>
          <t>要確認</t>
        </is>
      </c>
      <c r="E38" s="17" t="inlineStr">
        <is>
          <t>要確認</t>
        </is>
      </c>
      <c r="F38" s="18" t="inlineStr">
        <is>
          <t>月合計を集計・削減優先</t>
        </is>
      </c>
    </row>
    <row r="39" ht="6" customHeight="1"/>
    <row r="40" ht="22" customHeight="1">
      <c r="A40" s="5" t="inlineStr">
        <is>
          <t>⑧ 飲み会・交際費（変動費）</t>
        </is>
      </c>
    </row>
    <row r="41" ht="18" customHeight="1">
      <c r="A41" s="15" t="n">
        <v>24</v>
      </c>
      <c r="B41" s="16" t="inlineStr">
        <is>
          <t>飲み会・会食</t>
        </is>
      </c>
      <c r="C41" s="16" t="inlineStr">
        <is>
          <t>現金 / カード</t>
        </is>
      </c>
      <c r="D41" s="17" t="inlineStr">
        <is>
          <t>要確認</t>
        </is>
      </c>
      <c r="E41" s="17" t="inlineStr">
        <is>
          <t>要確認</t>
        </is>
      </c>
      <c r="F41" s="18" t="inlineStr">
        <is>
          <t>月合計を集計・削減優先</t>
        </is>
      </c>
    </row>
    <row r="42" ht="18" customHeight="1">
      <c r="A42" s="15" t="n">
        <v>25</v>
      </c>
      <c r="B42" s="16" t="inlineStr">
        <is>
          <t>贈り物・冠婚葬祭</t>
        </is>
      </c>
      <c r="C42" s="16" t="inlineStr">
        <is>
          <t>現金 / カード</t>
        </is>
      </c>
      <c r="D42" s="17" t="inlineStr">
        <is>
          <t>要確認</t>
        </is>
      </c>
      <c r="E42" s="17" t="inlineStr">
        <is>
          <t>要確認</t>
        </is>
      </c>
      <c r="F42" s="18" t="inlineStr">
        <is>
          <t>突発的支出として記録</t>
        </is>
      </c>
    </row>
    <row r="43" ht="6" customHeight="1"/>
    <row r="44" ht="22" customHeight="1">
      <c r="A44" s="5" t="inlineStr">
        <is>
          <t>⑨ 美容・服・趣味（変動費）</t>
        </is>
      </c>
    </row>
    <row r="45" ht="18" customHeight="1">
      <c r="A45" s="10" t="n">
        <v>26</v>
      </c>
      <c r="B45" s="11" t="inlineStr">
        <is>
          <t>コアラ皮膚科（5/2）</t>
        </is>
      </c>
      <c r="C45" s="11" t="inlineStr">
        <is>
          <t>M3デジカルスマート</t>
        </is>
      </c>
      <c r="D45" s="12" t="n">
        <v>1520</v>
      </c>
      <c r="E45" s="13" t="inlineStr">
        <is>
          <t>要確認</t>
        </is>
      </c>
      <c r="F45" s="14" t="inlineStr">
        <is>
          <t>美容皮膚科・単発</t>
        </is>
      </c>
    </row>
    <row r="46" ht="18" customHeight="1">
      <c r="A46" s="10" t="n">
        <v>27</v>
      </c>
      <c r="B46" s="11" t="inlineStr">
        <is>
          <t>美容室（HotPepper Beauty経由）</t>
        </is>
      </c>
      <c r="C46" s="11" t="inlineStr">
        <is>
          <t>カード</t>
        </is>
      </c>
      <c r="D46" s="13" t="inlineStr">
        <is>
          <t>要確認</t>
        </is>
      </c>
      <c r="E46" s="13" t="inlineStr">
        <is>
          <t>要確認</t>
        </is>
      </c>
      <c r="F46" s="14" t="inlineStr">
        <is>
          <t>4/30 予約利用</t>
        </is>
      </c>
    </row>
    <row r="47" ht="18" customHeight="1">
      <c r="A47" s="15" t="n">
        <v>28</v>
      </c>
      <c r="B47" s="16" t="inlineStr">
        <is>
          <t>服・ファッション（ZARA 池袋店など）</t>
        </is>
      </c>
      <c r="C47" s="16" t="inlineStr">
        <is>
          <t>エポスカード</t>
        </is>
      </c>
      <c r="D47" s="17" t="inlineStr">
        <is>
          <t>要確認</t>
        </is>
      </c>
      <c r="E47" s="17" t="inlineStr">
        <is>
          <t>要確認</t>
        </is>
      </c>
      <c r="F47" s="18" t="inlineStr">
        <is>
          <t>3月 ZARA ¥8,600確認済・削減優先</t>
        </is>
      </c>
    </row>
    <row r="48" ht="18" customHeight="1">
      <c r="A48" s="15" t="n">
        <v>29</v>
      </c>
      <c r="B48" s="16" t="inlineStr">
        <is>
          <t>趣味・ゲーム・娯楽</t>
        </is>
      </c>
      <c r="C48" s="16" t="inlineStr">
        <is>
          <t>カード / 現金</t>
        </is>
      </c>
      <c r="D48" s="17" t="inlineStr">
        <is>
          <t>要確認</t>
        </is>
      </c>
      <c r="E48" s="17" t="inlineStr">
        <is>
          <t>要確認</t>
        </is>
      </c>
      <c r="F48" s="18" t="inlineStr">
        <is>
          <t>カード明細で集計・削減優先</t>
        </is>
      </c>
    </row>
    <row r="49" ht="6" customHeight="1"/>
    <row r="50" ht="22" customHeight="1">
      <c r="A50" s="5" t="inlineStr">
        <is>
          <t>⑩ 日用品・小さな浪費（変動費）</t>
        </is>
      </c>
    </row>
    <row r="51" ht="18" customHeight="1">
      <c r="A51" s="10" t="n">
        <v>30</v>
      </c>
      <c r="B51" s="11" t="inlineStr">
        <is>
          <t>Baluko コインランドリー（株式会社ルーブ）</t>
        </is>
      </c>
      <c r="C51" s="11" t="inlineStr">
        <is>
          <t>エポスカード</t>
        </is>
      </c>
      <c r="D51" s="12" t="n">
        <v>2750</v>
      </c>
      <c r="E51" s="13" t="inlineStr">
        <is>
          <t>要確認</t>
        </is>
      </c>
      <c r="F51" s="14" t="inlineStr">
        <is>
          <t>3月実績 ¥2,750（¥200〜¥980×複数回）</t>
        </is>
      </c>
    </row>
    <row r="52" ht="18" customHeight="1">
      <c r="A52" s="15" t="n">
        <v>31</v>
      </c>
      <c r="B52" s="16" t="inlineStr">
        <is>
          <t>Amazon 衝動買い</t>
        </is>
      </c>
      <c r="C52" s="16" t="inlineStr">
        <is>
          <t>カード</t>
        </is>
      </c>
      <c r="D52" s="17" t="inlineStr">
        <is>
          <t>要確認</t>
        </is>
      </c>
      <c r="E52" s="17" t="inlineStr">
        <is>
          <t>要確認</t>
        </is>
      </c>
      <c r="F52" s="18" t="inlineStr">
        <is>
          <t>カード明細で集計・削減優先</t>
        </is>
      </c>
    </row>
    <row r="53" ht="18" customHeight="1">
      <c r="A53" s="15" t="n">
        <v>32</v>
      </c>
      <c r="B53" s="16" t="inlineStr">
        <is>
          <t>日用品雑貨</t>
        </is>
      </c>
      <c r="C53" s="16" t="inlineStr">
        <is>
          <t>現金 / カード</t>
        </is>
      </c>
      <c r="D53" s="17" t="inlineStr">
        <is>
          <t>要確認</t>
        </is>
      </c>
      <c r="E53" s="17" t="inlineStr">
        <is>
          <t>要確認</t>
        </is>
      </c>
      <c r="F53" s="18" t="inlineStr">
        <is>
          <t>カード明細で集計・削減優先</t>
        </is>
      </c>
    </row>
    <row r="54" ht="18" customHeight="1">
      <c r="A54" s="15" t="n">
        <v>33</v>
      </c>
      <c r="B54" s="16" t="inlineStr">
        <is>
          <t>粗大ごみ手数料（5/30）</t>
        </is>
      </c>
      <c r="C54" s="16" t="inlineStr">
        <is>
          <t>世田谷区</t>
        </is>
      </c>
      <c r="D54" s="17" t="inlineStr">
        <is>
          <t>要確認</t>
        </is>
      </c>
      <c r="E54" s="17" t="inlineStr">
        <is>
          <t>要確認</t>
        </is>
      </c>
      <c r="F54" s="18" t="inlineStr">
        <is>
          <t>単発支出</t>
        </is>
      </c>
    </row>
    <row r="55" ht="6" customHeight="1"/>
    <row r="56" ht="22" customHeight="1">
      <c r="A56" s="5" t="inlineStr">
        <is>
          <t>⑪ リボ・借金・分割払い</t>
        </is>
      </c>
    </row>
    <row r="57" ht="18" customHeight="1">
      <c r="A57" s="6" t="n">
        <v>34</v>
      </c>
      <c r="B57" s="7" t="inlineStr">
        <is>
          <t>楽天カード リボ残高</t>
        </is>
      </c>
      <c r="C57" s="7" t="inlineStr">
        <is>
          <t>楽天カード(Visa)</t>
        </is>
      </c>
      <c r="D57" s="8" t="inlineStr">
        <is>
          <t>要確認</t>
        </is>
      </c>
      <c r="E57" s="8" t="inlineStr">
        <is>
          <t>要確認</t>
        </is>
      </c>
      <c r="F57" s="9" t="inlineStr">
        <is>
          <t>4月支払0円・残高・リボ状況を確認</t>
        </is>
      </c>
    </row>
    <row r="58" ht="18" customHeight="1">
      <c r="A58" s="6" t="n">
        <v>35</v>
      </c>
      <c r="B58" s="7" t="inlineStr">
        <is>
          <t>エポスカード リボ / 分割</t>
        </is>
      </c>
      <c r="C58" s="7" t="inlineStr">
        <is>
          <t>エポスカード</t>
        </is>
      </c>
      <c r="D58" s="8" t="inlineStr">
        <is>
          <t>要確認</t>
        </is>
      </c>
      <c r="E58" s="8" t="inlineStr">
        <is>
          <t>要確認</t>
        </is>
      </c>
      <c r="F58" s="9" t="inlineStr">
        <is>
          <t>アプリ「お支払予定額照会」で確認</t>
        </is>
      </c>
    </row>
    <row r="59" ht="18" customHeight="1">
      <c r="A59" s="6" t="n">
        <v>36</v>
      </c>
      <c r="B59" s="7" t="inlineStr">
        <is>
          <t>その他借入・ローン</t>
        </is>
      </c>
      <c r="C59" s="7" t="inlineStr">
        <is>
          <t>—</t>
        </is>
      </c>
      <c r="D59" s="8" t="inlineStr">
        <is>
          <t>要確認</t>
        </is>
      </c>
      <c r="E59" s="8" t="inlineStr">
        <is>
          <t>要確認</t>
        </is>
      </c>
      <c r="F59" s="9" t="inlineStr">
        <is>
          <t>カードローン残高も確認</t>
        </is>
      </c>
    </row>
    <row r="60" ht="24" customHeight="1">
      <c r="A60" s="19" t="inlineStr">
        <is>
          <t>合計（確認済のみ）</t>
        </is>
      </c>
      <c r="D60" s="20">
        <f>SUMIF(D3:D59,"&lt;&gt;要確認",D3:D59)</f>
        <v/>
      </c>
      <c r="E60" s="20">
        <f>SUMIF(E3:E59,"&lt;&gt;要確認",E3:E59)</f>
        <v/>
      </c>
      <c r="F60" s="21" t="n"/>
    </row>
    <row r="62" ht="16" customHeight="1">
      <c r="A62" s="22" t="inlineStr">
        <is>
          <t xml:space="preserve">  白背景 = 金額確認済</t>
        </is>
      </c>
    </row>
    <row r="63" ht="16" customHeight="1">
      <c r="A63" s="23" t="inlineStr">
        <is>
          <t xml:space="preserve">  黄背景 = 要確認（カード明細参照）</t>
        </is>
      </c>
    </row>
    <row r="64" ht="16" customHeight="1">
      <c r="A64" s="24" t="inlineStr">
        <is>
          <t xml:space="preserve">  オレンジ = 削減優先候補</t>
        </is>
      </c>
    </row>
  </sheetData>
  <mergeCells count="16">
    <mergeCell ref="A60:C60"/>
    <mergeCell ref="A63:F63"/>
    <mergeCell ref="A13:F13"/>
    <mergeCell ref="A44:F44"/>
    <mergeCell ref="A1:F1"/>
    <mergeCell ref="A6:F6"/>
    <mergeCell ref="A62:F62"/>
    <mergeCell ref="A40:F40"/>
    <mergeCell ref="A18:F18"/>
    <mergeCell ref="A35:F35"/>
    <mergeCell ref="A50:F50"/>
    <mergeCell ref="A3:F3"/>
    <mergeCell ref="A30:F30"/>
    <mergeCell ref="A56:F56"/>
    <mergeCell ref="A64:F6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4" customWidth="1" min="4" max="4"/>
    <col width="16" customWidth="1" min="5" max="5"/>
    <col width="14" customWidth="1" min="6" max="6"/>
    <col width="24" customWidth="1" min="7" max="7"/>
  </cols>
  <sheetData>
    <row r="1" ht="36" customHeight="1">
      <c r="A1" s="25" t="inlineStr">
        <is>
          <t>カード明細チェックリスト  ― 月次振り返り用</t>
        </is>
      </c>
    </row>
    <row r="2" ht="20" customHeight="1">
      <c r="A2" s="26" t="inlineStr">
        <is>
          <t>#</t>
        </is>
      </c>
      <c r="B2" s="26" t="inlineStr">
        <is>
          <t>カード名</t>
        </is>
      </c>
      <c r="C2" s="26" t="inlineStr">
        <is>
          <t>利用店舗 / サービス名</t>
        </is>
      </c>
      <c r="D2" s="26" t="inlineStr">
        <is>
          <t>金額(円)</t>
        </is>
      </c>
      <c r="E2" s="26" t="inlineStr">
        <is>
          <t>カテゴリ</t>
        </is>
      </c>
      <c r="F2" s="26" t="inlineStr">
        <is>
          <t>削減対象?</t>
        </is>
      </c>
      <c r="G2" s="26" t="inlineStr">
        <is>
          <t>メモ</t>
        </is>
      </c>
    </row>
    <row r="3" ht="18" customHeight="1">
      <c r="A3" s="27" t="n">
        <v>1</v>
      </c>
      <c r="B3" s="28" t="inlineStr">
        <is>
          <t>楽天カード(Visa)</t>
        </is>
      </c>
      <c r="C3" s="28" t="inlineStr">
        <is>
          <t>（例）Uber Eats</t>
        </is>
      </c>
      <c r="D3" s="29" t="n">
        <v>3500</v>
      </c>
      <c r="E3" s="28" t="inlineStr">
        <is>
          <t>外食・Uber</t>
        </is>
      </c>
      <c r="F3" s="27" t="inlineStr">
        <is>
          <t>Yes</t>
        </is>
      </c>
      <c r="G3" s="28" t="inlineStr">
        <is>
          <t>月3回合計</t>
        </is>
      </c>
    </row>
    <row r="4" ht="18" customHeight="1">
      <c r="A4" s="27" t="n">
        <v>2</v>
      </c>
      <c r="B4" s="28" t="inlineStr">
        <is>
          <t>楽天カード(Visa)</t>
        </is>
      </c>
      <c r="C4" s="28" t="inlineStr">
        <is>
          <t>（例）コンビニ各社</t>
        </is>
      </c>
      <c r="D4" s="29" t="n">
        <v>4200</v>
      </c>
      <c r="E4" s="28" t="inlineStr">
        <is>
          <t>日用品・浪費</t>
        </is>
      </c>
      <c r="F4" s="27" t="inlineStr">
        <is>
          <t>Yes</t>
        </is>
      </c>
      <c r="G4" s="28" t="inlineStr">
        <is>
          <t>週平均1000円</t>
        </is>
      </c>
    </row>
    <row r="5" ht="18" customHeight="1">
      <c r="A5" s="30" t="n">
        <v>3</v>
      </c>
      <c r="B5" s="31" t="inlineStr">
        <is>
          <t>エポスカード</t>
        </is>
      </c>
      <c r="C5" s="31" t="inlineStr">
        <is>
          <t>（例）Amazon.co.jp</t>
        </is>
      </c>
      <c r="D5" s="32" t="n">
        <v>6800</v>
      </c>
      <c r="E5" s="31" t="inlineStr">
        <is>
          <t>日用品・趣味</t>
        </is>
      </c>
      <c r="F5" s="30" t="inlineStr">
        <is>
          <t>要判断</t>
        </is>
      </c>
      <c r="G5" s="31" t="inlineStr">
        <is>
          <t>衝動買い含む</t>
        </is>
      </c>
    </row>
    <row r="6" ht="18" customHeight="1">
      <c r="A6" s="27" t="n">
        <v>4</v>
      </c>
      <c r="B6" s="28" t="inlineStr">
        <is>
          <t>エポスカード</t>
        </is>
      </c>
      <c r="C6" s="28" t="inlineStr">
        <is>
          <t>Google AI Pro 5TB</t>
        </is>
      </c>
      <c r="D6" s="29" t="n">
        <v>2900</v>
      </c>
      <c r="E6" s="28" t="inlineStr">
        <is>
          <t>サブスク</t>
        </is>
      </c>
      <c r="F6" s="27" t="inlineStr">
        <is>
          <t>解約済</t>
        </is>
      </c>
      <c r="G6" s="28" t="inlineStr">
        <is>
          <t>6/2解約</t>
        </is>
      </c>
    </row>
    <row r="7" ht="18" customHeight="1">
      <c r="A7" s="33" t="n">
        <v>5</v>
      </c>
      <c r="B7" s="34" t="inlineStr">
        <is>
          <t>エポスカード</t>
        </is>
      </c>
      <c r="C7" s="34" t="inlineStr">
        <is>
          <t>Dropbox Simple</t>
        </is>
      </c>
      <c r="D7" s="35" t="n">
        <v>900</v>
      </c>
      <c r="E7" s="34" t="inlineStr">
        <is>
          <t>サブスク</t>
        </is>
      </c>
      <c r="F7" s="33" t="inlineStr">
        <is>
          <t>検討中</t>
        </is>
      </c>
      <c r="G7" s="34" t="inlineStr">
        <is>
          <t>代替案あり</t>
        </is>
      </c>
    </row>
    <row r="8" ht="18" customHeight="1">
      <c r="A8" s="33" t="n">
        <v>6</v>
      </c>
      <c r="B8" s="34" t="inlineStr">
        <is>
          <t>Apple/iPhone</t>
        </is>
      </c>
      <c r="C8" s="34" t="inlineStr">
        <is>
          <t>Dropbox Simple</t>
        </is>
      </c>
      <c r="D8" s="35" t="n">
        <v>900</v>
      </c>
      <c r="E8" s="34" t="inlineStr">
        <is>
          <t>サブスク</t>
        </is>
      </c>
      <c r="F8" s="33" t="inlineStr">
        <is>
          <t>検討中</t>
        </is>
      </c>
      <c r="G8" s="34" t="inlineStr">
        <is>
          <t>Appleからも請求</t>
        </is>
      </c>
    </row>
    <row r="9" ht="18" customHeight="1">
      <c r="A9" s="36" t="n"/>
      <c r="B9" s="36" t="n"/>
      <c r="C9" s="36" t="n"/>
      <c r="D9" s="36" t="n"/>
      <c r="E9" s="36" t="n"/>
      <c r="F9" s="36" t="n"/>
      <c r="G9" s="36" t="n"/>
    </row>
    <row r="10" ht="18" customHeight="1">
      <c r="A10" s="36" t="n"/>
      <c r="B10" s="36" t="n"/>
      <c r="C10" s="36" t="n"/>
      <c r="D10" s="36" t="n"/>
      <c r="E10" s="36" t="n"/>
      <c r="F10" s="36" t="n"/>
      <c r="G10" s="36" t="n"/>
    </row>
    <row r="11" ht="18" customHeight="1">
      <c r="A11" s="36" t="n"/>
      <c r="B11" s="36" t="n"/>
      <c r="C11" s="36" t="n"/>
      <c r="D11" s="36" t="n"/>
      <c r="E11" s="36" t="n"/>
      <c r="F11" s="36" t="n"/>
      <c r="G11" s="36" t="n"/>
    </row>
    <row r="12" ht="18" customHeight="1">
      <c r="A12" s="36" t="n"/>
      <c r="B12" s="36" t="n"/>
      <c r="C12" s="36" t="n"/>
      <c r="D12" s="36" t="n"/>
      <c r="E12" s="36" t="n"/>
      <c r="F12" s="36" t="n"/>
      <c r="G12" s="36" t="n"/>
    </row>
    <row r="13" ht="18" customHeight="1">
      <c r="A13" s="36" t="n"/>
      <c r="B13" s="36" t="n"/>
      <c r="C13" s="36" t="n"/>
      <c r="D13" s="36" t="n"/>
      <c r="E13" s="36" t="n"/>
      <c r="F13" s="36" t="n"/>
      <c r="G13" s="36" t="n"/>
    </row>
    <row r="14" ht="18" customHeight="1">
      <c r="A14" s="36" t="n"/>
      <c r="B14" s="36" t="n"/>
      <c r="C14" s="36" t="n"/>
      <c r="D14" s="36" t="n"/>
      <c r="E14" s="36" t="n"/>
      <c r="F14" s="36" t="n"/>
      <c r="G14" s="36" t="n"/>
    </row>
    <row r="15" ht="18" customHeight="1">
      <c r="A15" s="36" t="n"/>
      <c r="B15" s="36" t="n"/>
      <c r="C15" s="36" t="n"/>
      <c r="D15" s="36" t="n"/>
      <c r="E15" s="36" t="n"/>
      <c r="F15" s="36" t="n"/>
      <c r="G15" s="36" t="n"/>
    </row>
    <row r="16" ht="18" customHeight="1">
      <c r="A16" s="36" t="n"/>
      <c r="B16" s="36" t="n"/>
      <c r="C16" s="36" t="n"/>
      <c r="D16" s="36" t="n"/>
      <c r="E16" s="36" t="n"/>
      <c r="F16" s="36" t="n"/>
      <c r="G16" s="36" t="n"/>
    </row>
    <row r="17" ht="18" customHeight="1">
      <c r="A17" s="36" t="n"/>
      <c r="B17" s="36" t="n"/>
      <c r="C17" s="36" t="n"/>
      <c r="D17" s="36" t="n"/>
      <c r="E17" s="36" t="n"/>
      <c r="F17" s="36" t="n"/>
      <c r="G17" s="36" t="n"/>
    </row>
    <row r="18" ht="18" customHeight="1">
      <c r="A18" s="36" t="n"/>
      <c r="B18" s="36" t="n"/>
      <c r="C18" s="36" t="n"/>
      <c r="D18" s="36" t="n"/>
      <c r="E18" s="36" t="n"/>
      <c r="F18" s="36" t="n"/>
      <c r="G18" s="36" t="n"/>
    </row>
    <row r="19" ht="18" customHeight="1">
      <c r="A19" s="36" t="n"/>
      <c r="B19" s="36" t="n"/>
      <c r="C19" s="36" t="n"/>
      <c r="D19" s="36" t="n"/>
      <c r="E19" s="36" t="n"/>
      <c r="F19" s="36" t="n"/>
      <c r="G19" s="36" t="n"/>
    </row>
    <row r="20" ht="18" customHeight="1">
      <c r="A20" s="36" t="n"/>
      <c r="B20" s="36" t="n"/>
      <c r="C20" s="36" t="n"/>
      <c r="D20" s="36" t="n"/>
      <c r="E20" s="36" t="n"/>
      <c r="F20" s="36" t="n"/>
      <c r="G20" s="36" t="n"/>
    </row>
    <row r="21" ht="18" customHeight="1">
      <c r="A21" s="36" t="n"/>
      <c r="B21" s="36" t="n"/>
      <c r="C21" s="36" t="n"/>
      <c r="D21" s="36" t="n"/>
      <c r="E21" s="36" t="n"/>
      <c r="F21" s="36" t="n"/>
      <c r="G21" s="36" t="n"/>
    </row>
    <row r="22" ht="18" customHeight="1">
      <c r="A22" s="36" t="n"/>
      <c r="B22" s="36" t="n"/>
      <c r="C22" s="36" t="n"/>
      <c r="D22" s="36" t="n"/>
      <c r="E22" s="36" t="n"/>
      <c r="F22" s="36" t="n"/>
      <c r="G22" s="36" t="n"/>
    </row>
    <row r="23" ht="18" customHeight="1">
      <c r="A23" s="36" t="n"/>
      <c r="B23" s="36" t="n"/>
      <c r="C23" s="36" t="n"/>
      <c r="D23" s="36" t="n"/>
      <c r="E23" s="36" t="n"/>
      <c r="F23" s="36" t="n"/>
      <c r="G23" s="36" t="n"/>
    </row>
    <row r="24" ht="18" customHeight="1">
      <c r="A24" s="36" t="n"/>
      <c r="B24" s="36" t="n"/>
      <c r="C24" s="36" t="n"/>
      <c r="D24" s="36" t="n"/>
      <c r="E24" s="36" t="n"/>
      <c r="F24" s="36" t="n"/>
      <c r="G24" s="36" t="n"/>
    </row>
    <row r="25" ht="18" customHeight="1">
      <c r="A25" s="36" t="n"/>
      <c r="B25" s="36" t="n"/>
      <c r="C25" s="36" t="n"/>
      <c r="D25" s="36" t="n"/>
      <c r="E25" s="36" t="n"/>
      <c r="F25" s="36" t="n"/>
      <c r="G25" s="36" t="n"/>
    </row>
    <row r="26" ht="18" customHeight="1">
      <c r="A26" s="36" t="n"/>
      <c r="B26" s="36" t="n"/>
      <c r="C26" s="36" t="n"/>
      <c r="D26" s="36" t="n"/>
      <c r="E26" s="36" t="n"/>
      <c r="F26" s="36" t="n"/>
      <c r="G26" s="36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6" customHeight="1">
      <c r="A1" s="25" t="inlineStr">
        <is>
          <t>削減アクションプラン</t>
        </is>
      </c>
    </row>
    <row r="2" ht="20" customHeight="1">
      <c r="A2" s="26" t="inlineStr">
        <is>
          <t>#</t>
        </is>
      </c>
      <c r="B2" s="26" t="inlineStr">
        <is>
          <t>削減項目</t>
        </is>
      </c>
      <c r="C2" s="26" t="inlineStr">
        <is>
          <t>現在の月額(円)</t>
        </is>
      </c>
      <c r="D2" s="26" t="inlineStr">
        <is>
          <t>目標月額(円)</t>
        </is>
      </c>
      <c r="E2" s="26" t="inlineStr">
        <is>
          <t>月削減額(円)</t>
        </is>
      </c>
      <c r="F2" s="26" t="inlineStr">
        <is>
          <t>ステータス</t>
        </is>
      </c>
      <c r="G2" s="26" t="inlineStr">
        <is>
          <t>アクション内容</t>
        </is>
      </c>
    </row>
    <row r="3" ht="20" customHeight="1">
      <c r="A3" s="37" t="n">
        <v>1</v>
      </c>
      <c r="B3" s="38" t="inlineStr">
        <is>
          <t>Google AI Pro (解約済)</t>
        </is>
      </c>
      <c r="C3" s="39" t="n">
        <v>2900</v>
      </c>
      <c r="D3" s="39" t="n">
        <v>0</v>
      </c>
      <c r="E3" s="39" t="n">
        <v>2900</v>
      </c>
      <c r="F3" s="37" t="inlineStr">
        <is>
          <t>完了</t>
        </is>
      </c>
      <c r="G3" s="38" t="inlineStr">
        <is>
          <t>2026/06/02解約済 → Google One Free へ</t>
        </is>
      </c>
    </row>
    <row r="4" ht="20" customHeight="1">
      <c r="A4" s="37" t="n">
        <v>2</v>
      </c>
      <c r="B4" s="38" t="inlineStr">
        <is>
          <t>日経電子版（解約済）</t>
        </is>
      </c>
      <c r="C4" s="37" t="inlineStr">
        <is>
          <t>—</t>
        </is>
      </c>
      <c r="D4" s="39" t="n">
        <v>0</v>
      </c>
      <c r="E4" s="37" t="inlineStr">
        <is>
          <t>—</t>
        </is>
      </c>
      <c r="F4" s="37" t="inlineStr">
        <is>
          <t>完了</t>
        </is>
      </c>
      <c r="G4" s="38" t="inlineStr">
        <is>
          <t>解約受付済（7/9まで継続）</t>
        </is>
      </c>
    </row>
    <row r="5" ht="20" customHeight="1">
      <c r="A5" s="8" t="n">
        <v>3</v>
      </c>
      <c r="B5" s="7" t="inlineStr">
        <is>
          <t>Dropbox（代替検討）</t>
        </is>
      </c>
      <c r="C5" s="40" t="n">
        <v>900</v>
      </c>
      <c r="D5" s="40" t="n">
        <v>0</v>
      </c>
      <c r="E5" s="40" t="n">
        <v>900</v>
      </c>
      <c r="F5" s="8" t="inlineStr">
        <is>
          <t>検討中</t>
        </is>
      </c>
      <c r="G5" s="7" t="inlineStr">
        <is>
          <t>Google Drive無料枠 or 解約を検討</t>
        </is>
      </c>
    </row>
    <row r="6" ht="20" customHeight="1">
      <c r="A6" s="8" t="n">
        <v>4</v>
      </c>
      <c r="B6" s="7" t="inlineStr">
        <is>
          <t>通信費2回線→1回線集約</t>
        </is>
      </c>
      <c r="C6" s="40" t="n">
        <v>11372</v>
      </c>
      <c r="D6" s="40" t="n">
        <v>6000</v>
      </c>
      <c r="E6" s="40" t="n">
        <v>5372</v>
      </c>
      <c r="F6" s="8" t="inlineStr">
        <is>
          <t>検討中</t>
        </is>
      </c>
      <c r="G6" s="7" t="inlineStr">
        <is>
          <t>KDDI¥6,773+UQ¥4,599=¥11,372 → 1回線に絞れないか</t>
        </is>
      </c>
    </row>
    <row r="7" ht="20" customHeight="1">
      <c r="A7" s="8" t="n">
        <v>5</v>
      </c>
      <c r="B7" s="7" t="inlineStr">
        <is>
          <t>Claude.ai（業務費用化）</t>
        </is>
      </c>
      <c r="C7" s="40" t="n">
        <v>3284</v>
      </c>
      <c r="D7" s="8" t="inlineStr">
        <is>
          <t>—</t>
        </is>
      </c>
      <c r="E7" s="8" t="inlineStr">
        <is>
          <t>—</t>
        </is>
      </c>
      <c r="F7" s="8" t="inlineStr">
        <is>
          <t>検討中</t>
        </is>
      </c>
      <c r="G7" s="7" t="inlineStr">
        <is>
          <t>業務利用なら経費計上可・テックビズ税理士に確認</t>
        </is>
      </c>
    </row>
    <row r="8" ht="20" customHeight="1">
      <c r="A8" s="41" t="n">
        <v>6</v>
      </c>
      <c r="B8" s="42" t="inlineStr">
        <is>
          <t>外食・Uber・コンビニ削減</t>
        </is>
      </c>
      <c r="C8" s="41" t="inlineStr">
        <is>
          <t>—</t>
        </is>
      </c>
      <c r="D8" s="41" t="inlineStr">
        <is>
          <t>—</t>
        </is>
      </c>
      <c r="E8" s="41" t="inlineStr">
        <is>
          <t>—</t>
        </is>
      </c>
      <c r="F8" s="41" t="inlineStr">
        <is>
          <t>要集計</t>
        </is>
      </c>
      <c r="G8" s="42" t="inlineStr">
        <is>
          <t>カード明細を集計 → 月3万円を目標</t>
        </is>
      </c>
    </row>
    <row r="9" ht="20" customHeight="1">
      <c r="A9" s="17" t="n">
        <v>7</v>
      </c>
      <c r="B9" s="16" t="inlineStr">
        <is>
          <t>リボ・分割払い返済計画</t>
        </is>
      </c>
      <c r="C9" s="17" t="inlineStr">
        <is>
          <t>—</t>
        </is>
      </c>
      <c r="D9" s="17" t="inlineStr">
        <is>
          <t>—</t>
        </is>
      </c>
      <c r="E9" s="17" t="inlineStr">
        <is>
          <t>—</t>
        </is>
      </c>
      <c r="F9" s="17" t="inlineStr">
        <is>
          <t>要確認</t>
        </is>
      </c>
      <c r="G9" s="16" t="inlineStr">
        <is>
          <t>楽天・エポスのリボ残高確認→繰上返済</t>
        </is>
      </c>
    </row>
    <row r="10" ht="20" customHeight="1">
      <c r="A10" s="17" t="n">
        <v>8</v>
      </c>
      <c r="B10" s="16" t="inlineStr">
        <is>
          <t>サブスク棚卸し（全体）</t>
        </is>
      </c>
      <c r="C10" s="17" t="inlineStr">
        <is>
          <t>—</t>
        </is>
      </c>
      <c r="D10" s="17" t="inlineStr">
        <is>
          <t>—</t>
        </is>
      </c>
      <c r="E10" s="17" t="inlineStr">
        <is>
          <t>—</t>
        </is>
      </c>
      <c r="F10" s="17" t="inlineStr">
        <is>
          <t>今週中</t>
        </is>
      </c>
      <c r="G10" s="16" t="inlineStr">
        <is>
          <t>カード明細全件をカテゴリ分けして整理</t>
        </is>
      </c>
    </row>
    <row r="11" ht="20" customHeight="1">
      <c r="A11" s="41" t="n">
        <v>9</v>
      </c>
      <c r="B11" s="42" t="inlineStr">
        <is>
          <t>飲み会・交際費の見直し</t>
        </is>
      </c>
      <c r="C11" s="41" t="inlineStr">
        <is>
          <t>—</t>
        </is>
      </c>
      <c r="D11" s="41" t="inlineStr">
        <is>
          <t>—</t>
        </is>
      </c>
      <c r="E11" s="41" t="inlineStr">
        <is>
          <t>—</t>
        </is>
      </c>
      <c r="F11" s="41" t="inlineStr">
        <is>
          <t>要集計</t>
        </is>
      </c>
      <c r="G11" s="42" t="inlineStr">
        <is>
          <t>月上限を決めて超えた分は翌月繰越し</t>
        </is>
      </c>
    </row>
    <row r="12" ht="20" customHeight="1">
      <c r="A12" s="41" t="n">
        <v>10</v>
      </c>
      <c r="B12" s="42" t="inlineStr">
        <is>
          <t>美容・服の予算化（ZARA等）</t>
        </is>
      </c>
      <c r="C12" s="41" t="inlineStr">
        <is>
          <t>—</t>
        </is>
      </c>
      <c r="D12" s="41" t="inlineStr">
        <is>
          <t>—</t>
        </is>
      </c>
      <c r="E12" s="41" t="inlineStr">
        <is>
          <t>—</t>
        </is>
      </c>
      <c r="F12" s="41" t="inlineStr">
        <is>
          <t>要集計</t>
        </is>
      </c>
      <c r="G12" s="42" t="inlineStr">
        <is>
          <t>3月ZARA¥8,600確認済・月予算を設定</t>
        </is>
      </c>
    </row>
    <row r="13" ht="22" customHeight="1">
      <c r="A13" s="19" t="inlineStr">
        <is>
          <t>削減合計（確認済）</t>
        </is>
      </c>
      <c r="C13" s="43" t="n"/>
      <c r="D13" s="43" t="n"/>
      <c r="E13" s="20">
        <f>SUMIF(E3:E12,"&lt;&gt;—",E3:E12)</f>
        <v/>
      </c>
      <c r="F13" s="43" t="n"/>
      <c r="G13" s="21" t="n"/>
    </row>
  </sheetData>
  <mergeCells count="2">
    <mergeCell ref="A13:B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2026-05-16T02:46:05Z</dcterms:created>
  <dcterms:modified xsi:type="dcterms:W3CDTF">2026-05-16T02:46:05Z</dcterms:modified>
</cp:coreProperties>
</file>